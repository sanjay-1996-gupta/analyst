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nja\Downloads\"/>
    </mc:Choice>
  </mc:AlternateContent>
  <xr:revisionPtr revIDLastSave="0" documentId="13_ncr:1_{C271FAB1-4FDF-4B7E-9F17-4F43D24CEC08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Dataset1" sheetId="23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19" a="1"/>
  <c r="C22" i="19" s="1"/>
  <c r="B6" i="19" a="1"/>
  <c r="B6" i="19" s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<sst xmlns="http://schemas.openxmlformats.org/spreadsheetml/2006/main" count="403" uniqueCount="180">
  <si>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</si>
  <si>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</si>
  <si>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</si>
  <si>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</si>
  <si>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</si>
  <si>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</si>
  <si>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</si>
  <si>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</si>
  <si>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</si>
  <si>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</si>
  <si>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</si>
  <si>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</si>
  <si>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</si>
  <si>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</si>
  <si>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</si>
  <si>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</si>
  <si>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</si>
  <si>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</si>
  <si>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</si>
  <si>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</si>
  <si>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</si>
  <si>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</si>
  <si>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</si>
  <si>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</si>
  <si>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</si>
  <si>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</si>
  <si>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</si>
  <si>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</si>
  <si>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</si>
  <si>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</si>
  <si>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</si>
  <si>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</si>
  <si>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</si>
  <si>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</si>
  <si>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</si>
  <si>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</si>
  <si>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</si>
  <si>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</si>
  <si>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</si>
  <si>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</si>
  <si>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</si>
  <si>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</si>
  <si>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</si>
  <si>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</si>
  <si>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</si>
  <si>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</si>
  <si>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</si>
  <si>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</si>
  <si>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</si>
  <si>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</si>
  <si>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</si>
  <si>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</si>
  <si>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</si>
  <si>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</si>
  <si>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</si>
  <si>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</si>
  <si>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</si>
  <si>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</si>
  <si>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</si>
  <si>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</si>
  <si>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</si>
  <si>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</si>
  <si>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</si>
  <si>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</si>
  <si>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</si>
  <si>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</si>
  <si>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</si>
  <si>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</si>
  <si>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</si>
  <si>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</si>
  <si>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</si>
  <si>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</si>
  <si>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</si>
  <si>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</si>
  <si>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</si>
  <si>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</si>
  <si>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</si>
  <si>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</si>
  <si>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</si>
  <si>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</si>
  <si>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</si>
  <si>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</si>
  <si>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</si>
  <si>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</si>
  <si>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</si>
  <si>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</si>
  <si>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</si>
  <si>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</si>
  <si>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</si>
  <si>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</si>
  <si>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</si>
  <si>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</si>
  <si>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</si>
  <si>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</si>
  <si>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</si>
  <si>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</si>
  <si>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</si>
  <si>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</si>
  <si>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</si>
  <si>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</si>
  <si>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</si>
  <si>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</si>
  <si>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</si>
  <si>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</si>
  <si>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</si>
  <si>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</si>
  <si>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</si>
  <si>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</si>
  <si>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</si>
  <si>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</si>
  <si>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</si>
  <si>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</si>
  <si>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</si>
  <si>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</si>
  <si>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</si>
  <si>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</si>
  <si>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</si>
  <si>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</si>
  <si>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</si>
  <si>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</si>
  <si>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</si>
  <si>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</si>
  <si>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</si>
  <si>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</si>
  <si>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</si>
  <si>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</si>
  <si>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</si>
  <si>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</si>
  <si>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</si>
  <si>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</si>
  <si>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</si>
  <si>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</si>
  <si>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</si>
  <si>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</si>
  <si>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</si>
  <si>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</si>
  <si>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</si>
  <si>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</si>
  <si>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</si>
  <si>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</si>
  <si>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</si>
  <si>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</si>
  <si>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</si>
  <si>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</si>
  <si>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</si>
  <si>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</si>
  <si>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</si>
  <si>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</si>
  <si>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</si>
  <si>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</si>
  <si>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</si>
  <si>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</si>
  <si>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</si>
  <si>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</si>
  <si>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</si>
  <si>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</si>
  <si>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</si>
  <si>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</si>
  <si>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</si>
  <si>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</si>
  <si>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</si>
  <si>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</si>
  <si>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</si>
  <si>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</si>
  <si>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</si>
  <si>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</si>
  <si>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</si>
  <si>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</si>
  <si>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</si>
  <si>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</si>
  <si>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</si>
  <si>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</si>
  <si>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</si>
  <si>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</si>
  <si>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</si>
  <si>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</si>
  <si>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</si>
  <si>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 used sum and iferror combination because to replace n/a values and do the sum for given dataset to get value</t>
  </si>
  <si>
    <t>INDEX AND MATCH</t>
  </si>
  <si>
    <t>.This formula uses the INDEX and MATCH functions to first find the corresponding names from Table_B based on the given IDs (A23 and B23), and then it uses those names to look up the values in Table_A.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</si>
</sst>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333C4D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ill>
        <patternFill patternType="none">
          <fgColor indexed="64"/>
          <bgColor auto="1"/>
        </patternFill>
      </fill>
    </dxf>
    <dxf>
      <fill>
        <patternFill>
          <bgColor theme="9"/>
        </patternFill>
      </fill>
    </dxf>
    <dxf>
      <fill>
        <patternFill patternType="none">
          <bgColor auto="1"/>
        </patternFill>
      </fill>
    </dxf>
    <dxf>
      <fill>
        <patternFill>
          <bgColor theme="9"/>
        </patternFill>
      </fill>
    </dxf>
    <dxf>
      <fill>
        <patternFill>
          <fgColor rgb="FFFF0000"/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01640-D5C4-408A-8325-C8C11A91E8EB}">
  <dimension ref="A1:Y40"/>
  <sheetViews>
    <sheetView topLeftCell="C1" workbookViewId="0">
      <pane ySplit="1" topLeftCell="A23" activePane="bottomLeft" state="frozen"/>
      <selection activeCell="D1" sqref="D1"/>
      <selection pane="bottomLeft" activeCell="I46" sqref="I46"/>
    </sheetView>
  </sheetViews>
  <sheetFormatPr defaultRowHeight="13.2" x14ac:dyDescent="0.25"/>
  <cols>
    <col min="4" max="4" width="14.5546875" customWidth="1"/>
    <col min="24" max="24" width="11.109375" customWidth="1"/>
    <col min="25" max="25" width="10.33203125" bestFit="1" customWidth="1"/>
  </cols>
  <sheetData>
    <row r="1" spans="1:25" ht="14.4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5" ht="14.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  <c r="Y2" s="43">
        <v>45051</v>
      </c>
    </row>
    <row r="3" spans="1:25" ht="14.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  <c r="Y3" s="43">
        <v>45048</v>
      </c>
    </row>
    <row r="4" spans="1:25" ht="14.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  <c r="Y4" s="43">
        <v>45055</v>
      </c>
    </row>
    <row r="5" spans="1:25" ht="14.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  <c r="Y5" s="43">
        <v>45059</v>
      </c>
    </row>
    <row r="6" spans="1:25" ht="14.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  <c r="Y6" s="43">
        <v>45076</v>
      </c>
    </row>
    <row r="7" spans="1:25" ht="14.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  <c r="Y7" s="43">
        <v>45057</v>
      </c>
    </row>
    <row r="8" spans="1:25" ht="14.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  <c r="Y8" s="43">
        <v>45052</v>
      </c>
    </row>
    <row r="9" spans="1:25" ht="14.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  <c r="Y9" s="43">
        <v>45098</v>
      </c>
    </row>
    <row r="10" spans="1:25" ht="14.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  <c r="Y10" s="43">
        <v>45092</v>
      </c>
    </row>
    <row r="11" spans="1:25" ht="14.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  <c r="Y11" s="43">
        <v>45104</v>
      </c>
    </row>
    <row r="12" spans="1:25" ht="14.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  <c r="Y12" s="43">
        <v>45116</v>
      </c>
    </row>
    <row r="13" spans="1:25" ht="14.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  <c r="Y13" s="43">
        <v>45110</v>
      </c>
    </row>
    <row r="14" spans="1:25" ht="14.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  <c r="Y14" s="43">
        <v>45095</v>
      </c>
    </row>
    <row r="15" spans="1:25" ht="14.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  <c r="Y15" s="43">
        <v>45113</v>
      </c>
    </row>
    <row r="16" spans="1:25" ht="14.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  <c r="Y16" s="43">
        <v>45063</v>
      </c>
    </row>
    <row r="17" spans="1:25" ht="14.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  <c r="Y17" s="43">
        <v>45071</v>
      </c>
    </row>
    <row r="18" spans="1:25" ht="14.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  <c r="Y18" s="43">
        <v>45085</v>
      </c>
    </row>
    <row r="19" spans="1:25" ht="14.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  <c r="Y19" s="43">
        <v>45099</v>
      </c>
    </row>
    <row r="20" spans="1:25" ht="14.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  <c r="Y20" s="43">
        <v>45091</v>
      </c>
    </row>
    <row r="21" spans="1:25" ht="14.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  <c r="Y21" s="43">
        <v>45079</v>
      </c>
    </row>
    <row r="22" spans="1:25" ht="14.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  <c r="Y22" s="43">
        <v>45075</v>
      </c>
    </row>
    <row r="23" spans="1:25" ht="14.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  <c r="Y23" s="43">
        <v>45110</v>
      </c>
    </row>
    <row r="24" spans="1:25" ht="14.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  <c r="Y24" s="43">
        <v>45114</v>
      </c>
    </row>
    <row r="25" spans="1:25" ht="14.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  <c r="Y25" s="43">
        <v>45118</v>
      </c>
    </row>
    <row r="26" spans="1:25" ht="14.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  <c r="Y26" s="43">
        <v>45142</v>
      </c>
    </row>
    <row r="27" spans="1:25" ht="14.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  <c r="Y27" s="43">
        <v>45146</v>
      </c>
    </row>
    <row r="28" spans="1:25" ht="14.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  <c r="Y28" s="43">
        <v>45108</v>
      </c>
    </row>
    <row r="29" spans="1:25" ht="14.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  <c r="Y29" s="43">
        <v>45153</v>
      </c>
    </row>
    <row r="30" spans="1:25" ht="14.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  <c r="Y30" s="43">
        <v>45150</v>
      </c>
    </row>
    <row r="31" spans="1:25" ht="14.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  <c r="Y31" s="43">
        <v>45157</v>
      </c>
    </row>
    <row r="32" spans="1:25" ht="14.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  <c r="Y32" s="43">
        <v>45143</v>
      </c>
    </row>
    <row r="33" spans="1:25" ht="14.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  <c r="Y33" s="43">
        <v>45166</v>
      </c>
    </row>
    <row r="34" spans="1:25" ht="14.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  <c r="Y34" s="43">
        <v>45162</v>
      </c>
    </row>
    <row r="35" spans="1:25" ht="14.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  <c r="Y35" s="43">
        <v>45160</v>
      </c>
    </row>
    <row r="36" spans="1:25" ht="14.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  <c r="Y36" s="43">
        <v>45179</v>
      </c>
    </row>
    <row r="37" spans="1:25" ht="14.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  <c r="Y37" s="43">
        <v>45157</v>
      </c>
    </row>
    <row r="38" spans="1:25" ht="14.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  <c r="Y38" s="43">
        <v>45143</v>
      </c>
    </row>
    <row r="39" spans="1:25" ht="14.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  <c r="Y39" s="43">
        <v>45166</v>
      </c>
    </row>
    <row r="40" spans="1:25" ht="14.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  <c r="Y40" s="43">
        <v>45162</v>
      </c>
    </row>
  </sheetData>
  <conditionalFormatting sqref="A1:A40">
    <cfRule type="duplicateValues" dxfId="7" priority="14"/>
  </conditionalFormatting>
  <conditionalFormatting sqref="B1:B40">
    <cfRule type="duplicateValues" dxfId="6" priority="13"/>
  </conditionalFormatting>
  <conditionalFormatting sqref="G2:W40">
    <cfRule type="cellIs" dxfId="5" priority="2" operator="equal">
      <formula>0</formula>
    </cfRule>
    <cfRule type="cellIs" dxfId="4" priority="5" operator="between">
      <formula>"-"</formula>
      <formula>0</formula>
    </cfRule>
    <cfRule type="colorScale" priority="6">
      <colorScale>
        <cfvo type="num" val="-1"/>
        <cfvo type="num" val="0"/>
        <color rgb="FFFF0000"/>
        <color theme="9"/>
      </colorScale>
    </cfRule>
    <cfRule type="colorScale" priority="9">
      <colorScale>
        <cfvo type="num" val="0"/>
        <cfvo type="num" val="400"/>
        <color theme="9"/>
        <color theme="0"/>
      </colorScale>
    </cfRule>
    <cfRule type="colorScale" priority="12">
      <colorScale>
        <cfvo type="num" val="-1"/>
        <cfvo type="num" val="0"/>
        <color rgb="FFFF0000"/>
        <color theme="9"/>
      </colorScale>
    </cfRule>
  </conditionalFormatting>
  <conditionalFormatting sqref="G17:W40">
    <cfRule type="colorScale" priority="10">
      <colorScale>
        <cfvo type="num" val="1"/>
        <cfvo type="num" val="400"/>
        <color theme="0"/>
        <color theme="0"/>
      </colorScale>
    </cfRule>
    <cfRule type="cellIs" dxfId="3" priority="11" operator="equal">
      <formula>0</formula>
    </cfRule>
  </conditionalFormatting>
  <conditionalFormatting sqref="G19:W40">
    <cfRule type="colorScale" priority="7">
      <colorScale>
        <cfvo type="num" val="-1"/>
        <cfvo type="num" val="0"/>
        <color rgb="FFFF0000"/>
        <color theme="9"/>
      </colorScale>
    </cfRule>
  </conditionalFormatting>
  <conditionalFormatting sqref="G21:W40">
    <cfRule type="cellIs" dxfId="2" priority="3" operator="greaterThan">
      <formula>0</formula>
    </cfRule>
    <cfRule type="cellIs" dxfId="1" priority="4" operator="equal">
      <formula>0</formula>
    </cfRule>
  </conditionalFormatting>
  <conditionalFormatting sqref="G2:W20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C14" sqref="C14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SUMIF(Dataset1!H:H,"&gt;20")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8" zoomScaleNormal="100" workbookViewId="0">
      <selection activeCell="C30" sqref="C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VLOOKUP(A6,Dataset1!A1:Y40,7,FALSE)</f>
        <v>2.7</v>
      </c>
      <c r="C6" s="11">
        <f>VLOOKUP(A6,Dataset1!A1:Y40,14,0)</f>
        <v>7.6</v>
      </c>
      <c r="D6" s="11">
        <f>VLOOKUP(A6,Dataset1!A1:Y40,18,0)</f>
        <v>4.2</v>
      </c>
      <c r="E6" s="11">
        <f>VLOOKUP(A6,Dataset1!A1:Y40,20,0)</f>
        <v>8.9</v>
      </c>
      <c r="F6" s="11">
        <f>VLOOKUP(A6,Dataset1!A1:Y40,22,0)</f>
        <v>4.2</v>
      </c>
    </row>
    <row r="7" spans="1:7" ht="14.4" x14ac:dyDescent="0.3">
      <c r="A7" s="7" t="s">
        <v>4</v>
      </c>
      <c r="B7" s="11">
        <f>VLOOKUP(A7,Dataset1!A2:Y41,7,FALSE)</f>
        <v>2.7</v>
      </c>
      <c r="C7" s="11">
        <f>VLOOKUP(A7,Dataset1!A2:Y41,14,0)</f>
        <v>7.6</v>
      </c>
      <c r="D7" s="11">
        <f>VLOOKUP(A7,Dataset1!A2:Y41,18,0)</f>
        <v>4.2</v>
      </c>
      <c r="E7" s="11">
        <f>VLOOKUP(A7,Dataset1!A2:Y41,20,0)</f>
        <v>8.9</v>
      </c>
      <c r="F7" s="11">
        <f>VLOOKUP(A7,Dataset1!A2:Y41,22,0)</f>
        <v>4.2</v>
      </c>
    </row>
    <row r="8" spans="1:7" ht="14.4" x14ac:dyDescent="0.3">
      <c r="A8" s="7" t="s">
        <v>7</v>
      </c>
      <c r="B8" s="11">
        <f>VLOOKUP(A8,Dataset1!A3:Y42,7,FALSE)</f>
        <v>3.6</v>
      </c>
      <c r="C8" s="11">
        <f>VLOOKUP(A8,Dataset1!A3:Y42,14,0)</f>
        <v>11.1</v>
      </c>
      <c r="D8" s="11">
        <f>VLOOKUP(A8,Dataset1!A3:Y42,18,0)</f>
        <v>5.8</v>
      </c>
      <c r="E8" s="11">
        <f>VLOOKUP(A8,Dataset1!A3:Y42,20,0)</f>
        <v>12.2</v>
      </c>
      <c r="F8" s="11">
        <f>VLOOKUP(A8,Dataset1!A3:Y42,22,0)</f>
        <v>5.8</v>
      </c>
    </row>
    <row r="9" spans="1:7" ht="14.4" x14ac:dyDescent="0.3">
      <c r="A9" s="7" t="s">
        <v>8</v>
      </c>
      <c r="B9" s="11">
        <f>VLOOKUP(A9,Dataset1!A4:Y43,7,FALSE)</f>
        <v>4.9000000000000004</v>
      </c>
      <c r="C9" s="11">
        <f>VLOOKUP(A9,Dataset1!A4:Y43,14,0)</f>
        <v>13.3</v>
      </c>
      <c r="D9" s="11">
        <f>VLOOKUP(A9,Dataset1!A4:Y43,18,0)</f>
        <v>8.1</v>
      </c>
      <c r="E9" s="11">
        <f>VLOOKUP(A9,Dataset1!A4:Y43,20,0)</f>
        <v>17</v>
      </c>
      <c r="F9" s="11">
        <f>VLOOKUP(A9,Dataset1!A4:Y43,22,0)</f>
        <v>8.1</v>
      </c>
    </row>
    <row r="10" spans="1:7" ht="14.4" x14ac:dyDescent="0.3">
      <c r="A10" s="7" t="s">
        <v>11</v>
      </c>
      <c r="B10" s="11">
        <f>VLOOKUP(A10,Dataset1!A5:Y44,7,FALSE)</f>
        <v>9.4</v>
      </c>
      <c r="C10" s="11">
        <f>VLOOKUP(A10,Dataset1!A5:Y44,14,0)</f>
        <v>28.3</v>
      </c>
      <c r="D10" s="11">
        <f>VLOOKUP(A10,Dataset1!A5:Y44,18,0)</f>
        <v>16.100000000000001</v>
      </c>
      <c r="E10" s="11">
        <f>VLOOKUP(A10,Dataset1!A5:Y44,20,0)</f>
        <v>32.799999999999997</v>
      </c>
      <c r="F10" s="11">
        <f>VLOOKUP(A10,Dataset1!A5:Y44,22,0)</f>
        <v>16.100000000000001</v>
      </c>
    </row>
    <row r="11" spans="1:7" ht="14.4" x14ac:dyDescent="0.3">
      <c r="A11" s="7" t="s">
        <v>12</v>
      </c>
      <c r="B11" s="11">
        <f>VLOOKUP(A11,Dataset1!A6:Y45,7,FALSE)</f>
        <v>11.6</v>
      </c>
      <c r="C11" s="11">
        <f>VLOOKUP(A11,Dataset1!A6:Y45,14,0)</f>
        <v>35.200000000000003</v>
      </c>
      <c r="D11" s="11">
        <f>VLOOKUP(A11,Dataset1!A6:Y45,18,0)</f>
        <v>21.3</v>
      </c>
      <c r="E11" s="11">
        <f>VLOOKUP(A11,Dataset1!A6:Y45,20,0)</f>
        <v>43</v>
      </c>
      <c r="F11" s="11">
        <f>VLOOKUP(A11,Dataset1!A6:Y45,22,0)</f>
        <v>21.3</v>
      </c>
    </row>
    <row r="12" spans="1:7" ht="14.4" x14ac:dyDescent="0.3">
      <c r="A12" s="7" t="s">
        <v>14</v>
      </c>
      <c r="B12" s="11">
        <f>VLOOKUP(A12,Dataset1!A7:Y46,7,FALSE)</f>
        <v>18.399999999999999</v>
      </c>
      <c r="C12" s="11">
        <f>VLOOKUP(A12,Dataset1!A7:Y46,14,0)</f>
        <v>55.6</v>
      </c>
      <c r="D12" s="11">
        <f>VLOOKUP(A12,Dataset1!A7:Y46,18,0)</f>
        <v>33.799999999999997</v>
      </c>
      <c r="E12" s="11">
        <f>VLOOKUP(A12,Dataset1!A7:Y46,20,0)</f>
        <v>67.900000000000006</v>
      </c>
      <c r="F12" s="11">
        <f>VLOOKUP(A12,Dataset1!A7:Y46,22,0)</f>
        <v>33.799999999999997</v>
      </c>
    </row>
    <row r="13" spans="1:7" ht="14.4" x14ac:dyDescent="0.3">
      <c r="A13" s="7" t="s">
        <v>15</v>
      </c>
      <c r="B13" s="11">
        <f>VLOOKUP(A13,Dataset1!A8:Y47,7,FALSE)</f>
        <v>0</v>
      </c>
      <c r="C13" s="11">
        <f>VLOOKUP(A13,Dataset1!A8:Y47,14,0)</f>
        <v>0</v>
      </c>
      <c r="D13" s="11">
        <f>VLOOKUP(A13,Dataset1!A8:Y47,18,0)</f>
        <v>0</v>
      </c>
      <c r="E13" s="11">
        <f>VLOOKUP(A13,Dataset1!A8:Y47,20,0)</f>
        <v>0</v>
      </c>
      <c r="F13" s="11">
        <f>VLOOKUP(A13,Dataset1!A8:Y47,22,0)</f>
        <v>0</v>
      </c>
    </row>
    <row r="14" spans="1:7" ht="14.4" x14ac:dyDescent="0.3">
      <c r="A14" s="7" t="s">
        <v>16</v>
      </c>
      <c r="B14" s="11">
        <f>VLOOKUP(A14,Dataset1!A9:Y48,7,FALSE)</f>
        <v>21.9</v>
      </c>
      <c r="C14" s="11">
        <f>VLOOKUP(A14,Dataset1!A9:Y48,14,0)</f>
        <v>61.5</v>
      </c>
      <c r="D14" s="11">
        <f>VLOOKUP(A14,Dataset1!A9:Y48,18,0)</f>
        <v>40.1</v>
      </c>
      <c r="E14" s="11">
        <f>VLOOKUP(A14,Dataset1!A9:Y48,20,0)</f>
        <v>76.599999999999994</v>
      </c>
      <c r="F14" s="11">
        <f>VLOOKUP(A14,Dataset1!A9:Y48,22,0)</f>
        <v>40.1</v>
      </c>
    </row>
    <row r="15" spans="1:7" ht="14.4" x14ac:dyDescent="0.3">
      <c r="A15" s="7" t="s">
        <v>18</v>
      </c>
      <c r="B15" s="11">
        <f>VLOOKUP(A15,Dataset1!A10:Y49,7,FALSE)</f>
        <v>26.8</v>
      </c>
      <c r="C15" s="11">
        <f>VLOOKUP(A15,Dataset1!A10:Y49,14,0)</f>
        <v>79.599999999999994</v>
      </c>
      <c r="D15" s="11">
        <f>VLOOKUP(A15,Dataset1!A10:Y49,18,0)</f>
        <v>47.9</v>
      </c>
      <c r="E15" s="11">
        <f>VLOOKUP(A15,Dataset1!A10:Y49,20,0)</f>
        <v>96.8</v>
      </c>
      <c r="F15" s="11">
        <f>VLOOKUP(A15,Dataset1!A10:Y49,22,0)</f>
        <v>47.9</v>
      </c>
    </row>
    <row r="16" spans="1:7" ht="14.4" x14ac:dyDescent="0.3">
      <c r="A16" s="7" t="s">
        <v>20</v>
      </c>
      <c r="B16" s="11">
        <f>VLOOKUP(A16,Dataset1!A11:Y50,7,FALSE)</f>
        <v>28.5</v>
      </c>
      <c r="C16" s="11">
        <f>VLOOKUP(A16,Dataset1!A11:Y50,14,0)</f>
        <v>85.4</v>
      </c>
      <c r="D16" s="11">
        <f>VLOOKUP(A16,Dataset1!A11:Y50,18,0)</f>
        <v>52.3</v>
      </c>
      <c r="E16" s="11">
        <f>VLOOKUP(A16,Dataset1!A11:Y50,20,0)</f>
        <v>106.1</v>
      </c>
      <c r="F16" s="11">
        <f>VLOOKUP(A16,Dataset1!A11:Y50,22,0)</f>
        <v>52.3</v>
      </c>
    </row>
    <row r="17" spans="1:6" ht="14.4" x14ac:dyDescent="0.3">
      <c r="A17" s="7" t="s">
        <v>22</v>
      </c>
      <c r="B17" s="11">
        <f>VLOOKUP(A17,Dataset1!A12:Y51,7,FALSE)</f>
        <v>30.7</v>
      </c>
      <c r="C17" s="11">
        <f>VLOOKUP(A17,Dataset1!A12:Y51,14,0)</f>
        <v>92.1</v>
      </c>
      <c r="D17" s="11">
        <f>VLOOKUP(A17,Dataset1!A12:Y51,18,0)</f>
        <v>57</v>
      </c>
      <c r="E17" s="11">
        <f>VLOOKUP(A17,Dataset1!A12:Y51,20,0)</f>
        <v>115.1</v>
      </c>
      <c r="F17" s="11">
        <f>VLOOKUP(A17,Dataset1!A12:Y51,22,0)</f>
        <v>57</v>
      </c>
    </row>
    <row r="18" spans="1:6" ht="14.4" x14ac:dyDescent="0.3">
      <c r="A18" s="7" t="s">
        <v>23</v>
      </c>
      <c r="B18" s="11">
        <f>VLOOKUP(A18,Dataset1!A13:Y52,7,FALSE)</f>
        <v>33.799999999999997</v>
      </c>
      <c r="C18" s="11">
        <f>VLOOKUP(A18,Dataset1!A13:Y52,14,0)</f>
        <v>101.3</v>
      </c>
      <c r="D18" s="11">
        <f>VLOOKUP(A18,Dataset1!A13:Y52,18,0)</f>
        <v>61.4</v>
      </c>
      <c r="E18" s="11">
        <f>VLOOKUP(A18,Dataset1!A13:Y52,20,0)</f>
        <v>124.4</v>
      </c>
      <c r="F18" s="11">
        <f>VLOOKUP(A18,Dataset1!A13:Y52,22,0)</f>
        <v>61.4</v>
      </c>
    </row>
    <row r="19" spans="1:6" ht="14.4" x14ac:dyDescent="0.3">
      <c r="A19" s="7" t="s">
        <v>24</v>
      </c>
      <c r="B19" s="11">
        <f>VLOOKUP(A19,Dataset1!A14:Y53,7,FALSE)</f>
        <v>34.700000000000003</v>
      </c>
      <c r="C19" s="11">
        <f>VLOOKUP(A19,Dataset1!A14:Y53,14,0)</f>
        <v>106.1</v>
      </c>
      <c r="D19" s="11">
        <f>VLOOKUP(A19,Dataset1!A14:Y53,18,0)</f>
        <v>63.6</v>
      </c>
      <c r="E19" s="11">
        <f>VLOOKUP(A19,Dataset1!A14:Y53,20,0)</f>
        <v>128.6</v>
      </c>
      <c r="F19" s="11">
        <f>VLOOKUP(A19,Dataset1!A14:Y53,22,0)</f>
        <v>63.6</v>
      </c>
    </row>
    <row r="20" spans="1:6" ht="14.4" x14ac:dyDescent="0.3">
      <c r="A20" s="7" t="s">
        <v>28</v>
      </c>
      <c r="B20" s="11">
        <f>VLOOKUP(A20,Dataset1!A15:Y54,7,FALSE)</f>
        <v>0</v>
      </c>
      <c r="C20" s="11">
        <f>VLOOKUP(A20,Dataset1!A15:Y54,14,0)</f>
        <v>0</v>
      </c>
      <c r="D20" s="11">
        <f>VLOOKUP(A20,Dataset1!A15:Y54,18,0)</f>
        <v>0</v>
      </c>
      <c r="E20" s="11">
        <f>VLOOKUP(A20,Dataset1!A15:Y54,20,0)</f>
        <v>0</v>
      </c>
      <c r="F20" s="11">
        <f>VLOOKUP(A20,Dataset1!A15:Y54,22,0)</f>
        <v>0</v>
      </c>
    </row>
    <row r="21" spans="1:6" ht="14.4" x14ac:dyDescent="0.3">
      <c r="A21" s="7" t="s">
        <v>57</v>
      </c>
      <c r="B21" s="11">
        <f>VLOOKUP(A21,Dataset1!A16:Y55,7,FALSE)</f>
        <v>41.3</v>
      </c>
      <c r="C21" s="11">
        <f>VLOOKUP(A21,Dataset1!A16:Y55,14,0)</f>
        <v>124.4</v>
      </c>
      <c r="D21" s="11">
        <f>VLOOKUP(A21,Dataset1!A16:Y55,18,0)</f>
        <v>75</v>
      </c>
      <c r="E21" s="11">
        <f>VLOOKUP(A21,Dataset1!A16:Y55,20,0)</f>
        <v>151.5</v>
      </c>
      <c r="F21" s="11">
        <f>VLOOKUP(A21,Dataset1!A16:Y55,22,0)</f>
        <v>75</v>
      </c>
    </row>
    <row r="22" spans="1:6" ht="14.4" x14ac:dyDescent="0.3">
      <c r="A22" s="7" t="s">
        <v>58</v>
      </c>
      <c r="B22" s="11">
        <f>VLOOKUP(A22,Dataset1!A17:Y56,7,FALSE)</f>
        <v>-1</v>
      </c>
      <c r="C22" s="11">
        <f>VLOOKUP(A22,Dataset1!A17:Y56,14,0)</f>
        <v>-1</v>
      </c>
      <c r="D22" s="11">
        <f>VLOOKUP(A22,Dataset1!A17:Y56,18,0)</f>
        <v>-1</v>
      </c>
      <c r="E22" s="11">
        <f>VLOOKUP(A22,Dataset1!A17:Y56,20,0)</f>
        <v>-1</v>
      </c>
      <c r="F22" s="11">
        <f>VLOOKUP(A22,Dataset1!A17:Y56,22,0)</f>
        <v>-1</v>
      </c>
    </row>
    <row r="23" spans="1:6" ht="14.4" x14ac:dyDescent="0.3">
      <c r="A23" s="7" t="s">
        <v>31</v>
      </c>
      <c r="B23" s="11">
        <f>VLOOKUP(A23,Dataset1!A18:Y57,7,FALSE)</f>
        <v>45</v>
      </c>
      <c r="C23" s="11">
        <f>VLOOKUP(A23,Dataset1!A18:Y57,14,0)</f>
        <v>133.4</v>
      </c>
      <c r="D23" s="11">
        <f>VLOOKUP(A23,Dataset1!A18:Y57,18,0)</f>
        <v>79.400000000000006</v>
      </c>
      <c r="E23" s="11">
        <f>VLOOKUP(A23,Dataset1!A18:Y57,20,0)</f>
        <v>160.9</v>
      </c>
      <c r="F23" s="11">
        <f>VLOOKUP(A23,Dataset1!A18:Y57,22,0)</f>
        <v>79.400000000000006</v>
      </c>
    </row>
    <row r="24" spans="1:6" ht="14.4" x14ac:dyDescent="0.3">
      <c r="A24" s="7" t="s">
        <v>32</v>
      </c>
      <c r="B24" s="11">
        <f>VLOOKUP(A24,Dataset1!A19:Y58,7,FALSE)</f>
        <v>-1</v>
      </c>
      <c r="C24" s="11">
        <f>VLOOKUP(A24,Dataset1!A19:Y58,14,0)</f>
        <v>-1</v>
      </c>
      <c r="D24" s="11">
        <f>VLOOKUP(A24,Dataset1!A19:Y58,18,0)</f>
        <v>-1</v>
      </c>
      <c r="E24" s="11">
        <f>VLOOKUP(A24,Dataset1!A19:Y58,20,0)</f>
        <v>-1</v>
      </c>
      <c r="F24" s="11">
        <f>VLOOKUP(A24,Dataset1!A19:Y58,22,0)</f>
        <v>-1</v>
      </c>
    </row>
    <row r="25" spans="1:6" ht="14.4" x14ac:dyDescent="0.3">
      <c r="A25" s="7" t="s">
        <v>34</v>
      </c>
      <c r="B25" s="11">
        <f>VLOOKUP(A25,Dataset1!A20:Y59,7,FALSE)</f>
        <v>43.3</v>
      </c>
      <c r="C25" s="11">
        <f>VLOOKUP(A25,Dataset1!A20:Y59,14,0)</f>
        <v>128.6</v>
      </c>
      <c r="D25" s="11">
        <f>VLOOKUP(A25,Dataset1!A20:Y59,18,0)</f>
        <v>79.400000000000006</v>
      </c>
      <c r="E25" s="11">
        <f>VLOOKUP(A25,Dataset1!A20:Y59,20,0)</f>
        <v>160.9</v>
      </c>
      <c r="F25" s="11">
        <f>VLOOKUP(A25,Dataset1!A20:Y59,22,0)</f>
        <v>79.400000000000006</v>
      </c>
    </row>
    <row r="26" spans="1:6" ht="14.4" x14ac:dyDescent="0.3">
      <c r="A26" s="7" t="s">
        <v>37</v>
      </c>
      <c r="B26" s="11">
        <f>VLOOKUP(A26,Dataset1!A21:Y60,7,FALSE)</f>
        <v>49.1</v>
      </c>
      <c r="C26" s="11">
        <f>VLOOKUP(A26,Dataset1!A21:Y60,14,0)</f>
        <v>146.80000000000001</v>
      </c>
      <c r="D26" s="11">
        <f>VLOOKUP(A26,Dataset1!A21:Y60,18,0)</f>
        <v>90.9</v>
      </c>
      <c r="E26" s="11">
        <f>VLOOKUP(A26,Dataset1!A21:Y60,20,0)</f>
        <v>183.5</v>
      </c>
      <c r="F26" s="11">
        <f>VLOOKUP(A26,Dataset1!A21:Y60,22,0)</f>
        <v>90.9</v>
      </c>
    </row>
    <row r="27" spans="1:6" ht="14.4" x14ac:dyDescent="0.3">
      <c r="A27" s="7" t="s">
        <v>39</v>
      </c>
      <c r="B27" s="11">
        <f>VLOOKUP(A27,Dataset1!A22:Y61,7,FALSE)</f>
        <v>51.8</v>
      </c>
      <c r="C27" s="11">
        <f>VLOOKUP(A27,Dataset1!A22:Y61,14,0)</f>
        <v>156.4</v>
      </c>
      <c r="D27" s="11">
        <f>VLOOKUP(A27,Dataset1!A22:Y61,18,0)</f>
        <v>93.1</v>
      </c>
      <c r="E27" s="11">
        <f>VLOOKUP(A27,Dataset1!A22:Y61,20,0)</f>
        <v>188.1</v>
      </c>
      <c r="F27" s="11">
        <f>VLOOKUP(A27,Dataset1!A22:Y61,22,0)</f>
        <v>93.1</v>
      </c>
    </row>
    <row r="28" spans="1:6" ht="14.4" x14ac:dyDescent="0.3">
      <c r="A28" s="18" t="s">
        <v>82</v>
      </c>
      <c r="B28" s="11">
        <f>MIN(B6:B27)</f>
        <v>-1</v>
      </c>
      <c r="C28" s="11">
        <f>MIN(C6:C27)</f>
        <v>-1</v>
      </c>
      <c r="D28" s="11">
        <f>MIN(D6:D27)</f>
        <v>-1</v>
      </c>
      <c r="E28" s="11">
        <f>MIN(E6:E27)</f>
        <v>-1</v>
      </c>
      <c r="F28" s="11">
        <f>MIN(F6:F27)</f>
        <v>-1</v>
      </c>
    </row>
    <row r="29" spans="1:6" ht="14.4" x14ac:dyDescent="0.3">
      <c r="A29" s="18" t="s">
        <v>83</v>
      </c>
      <c r="B29" s="11">
        <f>MAX(B6:B27)</f>
        <v>51.8</v>
      </c>
      <c r="C29" s="11">
        <f>MAX(C6:C27)</f>
        <v>156.4</v>
      </c>
      <c r="D29" s="11">
        <f>MAX(D6:D27)</f>
        <v>93.1</v>
      </c>
      <c r="E29" s="11">
        <f>MAX(E6:E27)</f>
        <v>188.1</v>
      </c>
      <c r="F29" s="11">
        <f>MAX(F6:F27)</f>
        <v>93.1</v>
      </c>
    </row>
    <row r="30" spans="1:6" ht="14.4" x14ac:dyDescent="0.3">
      <c r="A30" s="18" t="s">
        <v>84</v>
      </c>
      <c r="B30" s="11">
        <f>AVERAGE(B6:B27)</f>
        <v>20.827272727272728</v>
      </c>
      <c r="C30" s="11">
        <f>AVERAGE(C6:C27)</f>
        <v>62.377272727272725</v>
      </c>
      <c r="D30" s="11">
        <f>AVERAGE(D6:D27)</f>
        <v>37.800000000000004</v>
      </c>
      <c r="E30" s="11">
        <f>AVERAGE(E6:E27)</f>
        <v>76.418181818181822</v>
      </c>
      <c r="F30" s="1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6" zoomScaleNormal="100" workbookViewId="0">
      <selection activeCell="C17" sqref="C1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2" sqref="C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cm="1">
        <f t="array" ref="B6">SUM(IFERROR(C12:C21,20))</f>
        <v>600</v>
      </c>
    </row>
    <row r="7" spans="1:3" ht="14.4" x14ac:dyDescent="0.3">
      <c r="A7" s="3" t="s">
        <v>153</v>
      </c>
      <c r="B7" s="1" t="s">
        <v>177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2" zoomScaleNormal="100" workbookViewId="0">
      <selection activeCell="E6" sqref="E6"/>
    </sheetView>
  </sheetViews>
  <sheetFormatPr defaultColWidth="11" defaultRowHeight="13.8" x14ac:dyDescent="0.3"/>
  <cols>
    <col min="1" max="1" width="28.21875" style="2" bestFit="1" customWidth="1"/>
    <col min="2" max="2" width="11" style="2"/>
    <col min="3" max="3" width="21.109375" style="2" customWidth="1"/>
    <col min="4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2" t="s">
        <v>178</v>
      </c>
    </row>
    <row r="5" spans="1:14" ht="18" x14ac:dyDescent="0.35">
      <c r="A5" s="42" t="s">
        <v>153</v>
      </c>
      <c r="B5" s="1" t="s">
        <v>179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7.399999999999999" x14ac:dyDescent="0.3">
      <c r="A23" s="7">
        <v>10100</v>
      </c>
      <c r="B23" s="11">
        <v>10102</v>
      </c>
      <c r="C23" s="44">
        <f>INDEX(A9:J18, MATCH(INDEX(N10:N18, MATCH(A23, M10:M18, 0)),A9:A18, 0), MATCH(INDEX(N10:N18, MATCH(B23, M10:M18, 0)), A9:J9,0))</f>
        <v>95</v>
      </c>
      <c r="D23" s="2">
        <v>95</v>
      </c>
    </row>
    <row r="24" spans="1:14" ht="17.399999999999999" x14ac:dyDescent="0.3">
      <c r="A24" s="7">
        <v>10100</v>
      </c>
      <c r="B24" s="11">
        <v>10104</v>
      </c>
      <c r="C24" s="44">
        <f>INDEX(A9:J18, MATCH(INDEX(N10:N18, MATCH(A24, M10:M18, 0)),A9:A18, 0), MATCH(INDEX(N10:N18, MATCH(B24, M10:M18, 0)), A9:J9,0))</f>
        <v>-1</v>
      </c>
      <c r="D24" s="2">
        <v>-1</v>
      </c>
    </row>
    <row r="25" spans="1:14" ht="17.399999999999999" x14ac:dyDescent="0.3">
      <c r="A25" s="7">
        <v>10108</v>
      </c>
      <c r="B25" s="11">
        <v>10102</v>
      </c>
      <c r="C25" s="44">
        <f>INDEX(A9:J18, MATCH(INDEX(N10:N18, MATCH(A25, M10:M18, 0)),A9:A18, 0), MATCH(INDEX(N10:N18, MATCH(B25, M10:M18, 0)), A9:J9,0))</f>
        <v>160</v>
      </c>
      <c r="D25" s="2">
        <v>160</v>
      </c>
    </row>
    <row r="26" spans="1:14" ht="17.399999999999999" x14ac:dyDescent="0.3">
      <c r="A26" s="7">
        <v>10100</v>
      </c>
      <c r="B26" s="11">
        <v>10106</v>
      </c>
      <c r="C26" s="44">
        <f>INDEX(A9:J18, MATCH(INDEX(N10:N18, MATCH(A26, M10:M18, 0)),A9:A18, 0), MATCH(INDEX(N10:N18, MATCH(B26, M10:M18, 0)), A9:J9,0))</f>
        <v>185</v>
      </c>
      <c r="D26" s="2">
        <v>185</v>
      </c>
    </row>
    <row r="27" spans="1:14" ht="17.399999999999999" x14ac:dyDescent="0.3">
      <c r="A27" s="7">
        <v>10108</v>
      </c>
      <c r="B27" s="11">
        <v>10110</v>
      </c>
      <c r="C27" s="44">
        <f>INDEX(A9:J18, MATCH(INDEX(N10:N18, MATCH(A27, M10:M18, 0)),A9:A18, 0), MATCH(INDEX(N10:N18, MATCH(B27, M10:M18, 0)), A9:J9,0))</f>
        <v>50</v>
      </c>
      <c r="D27" s="2">
        <v>50</v>
      </c>
    </row>
    <row r="28" spans="1:14" ht="17.399999999999999" x14ac:dyDescent="0.3">
      <c r="A28" s="7">
        <v>10102</v>
      </c>
      <c r="B28" s="11">
        <v>10104</v>
      </c>
      <c r="C28" s="44">
        <f>INDEX(A9:J18, MATCH(INDEX(N10:N18, MATCH(A28, M10:M18, 0)),A9:A18, 0), MATCH(INDEX(N10:N18, MATCH(B28, M10:M18, 0)), A9:J9,0))</f>
        <v>-1</v>
      </c>
      <c r="D28" s="2">
        <v>-1</v>
      </c>
    </row>
    <row r="29" spans="1:14" ht="17.399999999999999" x14ac:dyDescent="0.3">
      <c r="A29" s="7">
        <v>10106</v>
      </c>
      <c r="B29" s="11">
        <v>10108</v>
      </c>
      <c r="C29" s="44">
        <f>INDEX(A9:J18, MATCH(INDEX(N10:N18, MATCH(A29, M10:M18, 0)),A9:A18, 0), MATCH(INDEX(N10:N18, MATCH(B29, M10:M18, 0)), A9:J9,0))</f>
        <v>70</v>
      </c>
      <c r="D29" s="2">
        <v>70</v>
      </c>
    </row>
    <row r="30" spans="1:14" ht="17.399999999999999" x14ac:dyDescent="0.3">
      <c r="A30" s="7">
        <v>10102</v>
      </c>
      <c r="B30" s="11">
        <v>10106</v>
      </c>
      <c r="C30" s="44">
        <f>INDEX(A9:J18, MATCH(INDEX(N10:N18, MATCH(A30, M10:M18, 0)),A9:A18, 0), MATCH(INDEX(N10:N18, MATCH(B30, M10:M18, 0)), A9:J9,0))</f>
        <v>90</v>
      </c>
      <c r="D30" s="2">
        <v>90</v>
      </c>
    </row>
    <row r="31" spans="1:14" ht="17.399999999999999" x14ac:dyDescent="0.3">
      <c r="A31" s="7">
        <v>10110</v>
      </c>
      <c r="B31" s="11">
        <v>10114</v>
      </c>
      <c r="C31" s="44">
        <f>INDEX(A9:J18, MATCH(INDEX(N10:N18, MATCH(A31, M10:M18, 0)),A9:A18, 0), MATCH(INDEX(N10:N18, MATCH(B31, M10:M18, 0)), A9:J9,0))</f>
        <v>180</v>
      </c>
      <c r="D31" s="2">
        <v>180</v>
      </c>
    </row>
    <row r="32" spans="1:14" ht="17.399999999999999" x14ac:dyDescent="0.3">
      <c r="A32" s="7">
        <v>10104</v>
      </c>
      <c r="B32" s="11">
        <v>10106</v>
      </c>
      <c r="C32" s="44">
        <f>INDEX(A9:J18, MATCH(INDEX(N10:N18, MATCH(A32, M10:M18, 0)),A9:A18, 0), MATCH(INDEX(N10:N18, MATCH(B32, M10:M18, 0)), A9:J9,0))</f>
        <v>60</v>
      </c>
      <c r="D32" s="2">
        <v>60</v>
      </c>
    </row>
    <row r="33" spans="1:4" ht="17.399999999999999" x14ac:dyDescent="0.3">
      <c r="A33" s="7">
        <v>10110</v>
      </c>
      <c r="B33" s="11">
        <v>10112</v>
      </c>
      <c r="C33" s="44">
        <f>INDEX(A9:J18, MATCH(INDEX(N10:N18, MATCH(A33, M10:M18, 0)),A9:A18, 0), MATCH(INDEX(N10:N18, MATCH(B33, M10:M18, 0)), A9:J9,0))</f>
        <v>115</v>
      </c>
      <c r="D33" s="2">
        <v>115</v>
      </c>
    </row>
    <row r="34" spans="1:4" ht="17.399999999999999" x14ac:dyDescent="0.3">
      <c r="A34" s="7">
        <v>10100</v>
      </c>
      <c r="B34" s="11">
        <v>10114</v>
      </c>
      <c r="C34" s="44">
        <f>INDEX(A9:J18, MATCH(INDEX(N10:N18, MATCH(A34, M10:M18, 0)),A9:A18, 0), MATCH(INDEX(N10:N18, MATCH(B34, M10:M18, 0)), A9:J9,0))</f>
        <v>480</v>
      </c>
      <c r="D34" s="2">
        <v>480</v>
      </c>
    </row>
    <row r="35" spans="1:4" ht="17.399999999999999" x14ac:dyDescent="0.3">
      <c r="A35" s="8">
        <v>10112</v>
      </c>
      <c r="B35" s="12">
        <v>10116</v>
      </c>
      <c r="C35" s="44">
        <f>INDEX(A9:J18, MATCH(INDEX(N10:N18, MATCH(A35, M10:M18, 0)),A9:A18, 0), MATCH(INDEX(N10:N18, MATCH(B35, M10:M18, 0)), A9:J9,0))</f>
        <v>105</v>
      </c>
      <c r="D35" s="2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Dataset1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sanjay gupta</cp:lastModifiedBy>
  <dcterms:created xsi:type="dcterms:W3CDTF">2015-02-10T17:33:11Z</dcterms:created>
  <dcterms:modified xsi:type="dcterms:W3CDTF">2023-12-09T09:04:34Z</dcterms:modified>
</cp:coreProperties>
</file>